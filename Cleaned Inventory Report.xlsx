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F22F2EC6-A1DD-4451-B66C-3C3EFECAEF21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Inventory" sheetId="1" r:id="rId1"/>
    <sheet name="Supliers" sheetId="2" r:id="rId2"/>
    <sheet name="Transactions" sheetId="3" r:id="rId3"/>
    <sheet name="Audits" sheetId="4" r:id="rId4"/>
  </sheets>
  <definedNames>
    <definedName name="_xlnm._FilterDatabase" localSheetId="0" hidden="1">Inventory!$H$2:$J$20</definedName>
  </definedNames>
  <calcPr calcId="191028"/>
  <pivotCaches>
    <pivotCache cacheId="46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/>
  <c r="K20" i="3"/>
  <c r="K18" i="3"/>
</calcChain>
</file>

<file path=xl/sharedStrings.xml><?xml version="1.0" encoding="utf-8"?>
<sst xmlns="http://schemas.openxmlformats.org/spreadsheetml/2006/main" count="312" uniqueCount="155">
  <si>
    <t>ItemID</t>
  </si>
  <si>
    <t>Item Name</t>
  </si>
  <si>
    <t>Category</t>
  </si>
  <si>
    <t>Qty</t>
  </si>
  <si>
    <t>Unit</t>
  </si>
  <si>
    <t>Reorder Level</t>
  </si>
  <si>
    <t>Last Restock</t>
  </si>
  <si>
    <t>Location</t>
  </si>
  <si>
    <t>Stock Need</t>
  </si>
  <si>
    <t>Status</t>
  </si>
  <si>
    <t>(All)</t>
  </si>
  <si>
    <t>INV-001</t>
  </si>
  <si>
    <t>Widget A</t>
  </si>
  <si>
    <t>Hardware</t>
  </si>
  <si>
    <t>pcs</t>
  </si>
  <si>
    <t>Warehouse 1</t>
  </si>
  <si>
    <t>Ok</t>
  </si>
  <si>
    <t>ok</t>
  </si>
  <si>
    <t>INV-002</t>
  </si>
  <si>
    <t>Widget B</t>
  </si>
  <si>
    <t>Need Restocking</t>
  </si>
  <si>
    <t>Count of Qty</t>
  </si>
  <si>
    <t>INV-003</t>
  </si>
  <si>
    <t>Gadget X</t>
  </si>
  <si>
    <t>Electronics</t>
  </si>
  <si>
    <t>Warehouse-2</t>
  </si>
  <si>
    <t>Grand Total</t>
  </si>
  <si>
    <t>INV-004</t>
  </si>
  <si>
    <t>Gizmo Z</t>
  </si>
  <si>
    <t>Warehouse 2</t>
  </si>
  <si>
    <t>Need Review</t>
  </si>
  <si>
    <t>INV-005</t>
  </si>
  <si>
    <t>Thingamajig</t>
  </si>
  <si>
    <t>Tools</t>
  </si>
  <si>
    <t>Warehouse 3</t>
  </si>
  <si>
    <t>INV-006</t>
  </si>
  <si>
    <t>Part-123</t>
  </si>
  <si>
    <t>INV-007</t>
  </si>
  <si>
    <t>Unnamed Item</t>
  </si>
  <si>
    <t>Unknown</t>
  </si>
  <si>
    <t>30/2/2026</t>
  </si>
  <si>
    <t>Warehouse 4</t>
  </si>
  <si>
    <t>Returns</t>
  </si>
  <si>
    <t>INV-008</t>
  </si>
  <si>
    <t>INV-009</t>
  </si>
  <si>
    <t>Widget C</t>
  </si>
  <si>
    <t>15/2/2026</t>
  </si>
  <si>
    <t>INV-010</t>
  </si>
  <si>
    <t>(blank)</t>
  </si>
  <si>
    <t>INV-011</t>
  </si>
  <si>
    <t>Widget D</t>
  </si>
  <si>
    <t>INV-012</t>
  </si>
  <si>
    <t>Sprocket</t>
  </si>
  <si>
    <t>INV-013</t>
  </si>
  <si>
    <t>Widget E</t>
  </si>
  <si>
    <t>INV-014</t>
  </si>
  <si>
    <t>Gadget Y</t>
  </si>
  <si>
    <t>INV-016</t>
  </si>
  <si>
    <t>Widget F</t>
  </si>
  <si>
    <t>INV-017</t>
  </si>
  <si>
    <t>Broken Item</t>
  </si>
  <si>
    <t>INV-018</t>
  </si>
  <si>
    <t>Widget G</t>
  </si>
  <si>
    <t>INV-019</t>
  </si>
  <si>
    <t>Widget H</t>
  </si>
  <si>
    <t>13/02/2026</t>
  </si>
  <si>
    <t>INV-020</t>
  </si>
  <si>
    <t>Gadget Z</t>
  </si>
  <si>
    <t>SupplierID</t>
  </si>
  <si>
    <t>Supplier Name</t>
  </si>
  <si>
    <t>Contact</t>
  </si>
  <si>
    <t>Phone</t>
  </si>
  <si>
    <t>Email</t>
  </si>
  <si>
    <t>Items Supplied</t>
  </si>
  <si>
    <t>Last Order</t>
  </si>
  <si>
    <t>SUP-001</t>
  </si>
  <si>
    <t>Acme Corp</t>
  </si>
  <si>
    <t>John Doe</t>
  </si>
  <si>
    <t>555-1234</t>
  </si>
  <si>
    <t>john@acme.example</t>
  </si>
  <si>
    <t>INV-001;INV-002;INV-009</t>
  </si>
  <si>
    <t>OK</t>
  </si>
  <si>
    <t>SUP-002</t>
  </si>
  <si>
    <t>Globex</t>
  </si>
  <si>
    <t>Jane Smith</t>
  </si>
  <si>
    <t>555-5678</t>
  </si>
  <si>
    <t>jane@globex.example</t>
  </si>
  <si>
    <t>INV-003;INV-008</t>
  </si>
  <si>
    <t>SUP-003</t>
  </si>
  <si>
    <t>Parts R Us</t>
  </si>
  <si>
    <t>555-0000</t>
  </si>
  <si>
    <t>parts@example.com</t>
  </si>
  <si>
    <t>INV004;INV-006</t>
  </si>
  <si>
    <t>SUP-004</t>
  </si>
  <si>
    <t>Old Supplies</t>
  </si>
  <si>
    <t>Mr. Old</t>
  </si>
  <si>
    <t>555-9999</t>
  </si>
  <si>
    <t>old@old.example</t>
  </si>
  <si>
    <t>INV-015</t>
  </si>
  <si>
    <t>SUP-005</t>
  </si>
  <si>
    <t>New Supplier</t>
  </si>
  <si>
    <t>New Person</t>
  </si>
  <si>
    <t>phone unknown</t>
  </si>
  <si>
    <t>new@sup.example</t>
  </si>
  <si>
    <t>INV-018; INV-020</t>
  </si>
  <si>
    <t>Need Urgent Review</t>
  </si>
  <si>
    <t>TransID</t>
  </si>
  <si>
    <t>Trans Date</t>
  </si>
  <si>
    <t>Type</t>
  </si>
  <si>
    <t>Reference</t>
  </si>
  <si>
    <t>T-1001</t>
  </si>
  <si>
    <t>OUT</t>
  </si>
  <si>
    <t>SO-1001</t>
  </si>
  <si>
    <t>T-1002</t>
  </si>
  <si>
    <t>SO-1002</t>
  </si>
  <si>
    <t>T-1003</t>
  </si>
  <si>
    <t>SO-1003</t>
  </si>
  <si>
    <t>T-1004</t>
  </si>
  <si>
    <t>IN</t>
  </si>
  <si>
    <t>PO-2001</t>
  </si>
  <si>
    <t>T-1005</t>
  </si>
  <si>
    <t>SO-1005</t>
  </si>
  <si>
    <t>T1006</t>
  </si>
  <si>
    <t>PO-2002</t>
  </si>
  <si>
    <t>T-1007</t>
  </si>
  <si>
    <t>SO-1007</t>
  </si>
  <si>
    <t>T-1008</t>
  </si>
  <si>
    <t>SO-1008</t>
  </si>
  <si>
    <t>T-1009</t>
  </si>
  <si>
    <t>PO-2003</t>
  </si>
  <si>
    <t>T-1010</t>
  </si>
  <si>
    <t>SO-1010</t>
  </si>
  <si>
    <t>T-1011</t>
  </si>
  <si>
    <t>PO-2004</t>
  </si>
  <si>
    <t>Quantity</t>
  </si>
  <si>
    <t>NoteID</t>
  </si>
  <si>
    <t>Date</t>
  </si>
  <si>
    <t>User</t>
  </si>
  <si>
    <t>Action</t>
  </si>
  <si>
    <t>Details</t>
  </si>
  <si>
    <t>A-1</t>
  </si>
  <si>
    <t>admin</t>
  </si>
  <si>
    <t>Adjust</t>
  </si>
  <si>
    <t>INV-006 qty corrected from 4 to 5</t>
  </si>
  <si>
    <t>A-2</t>
  </si>
  <si>
    <t>audit</t>
  </si>
  <si>
    <t>Check</t>
  </si>
  <si>
    <t>Reviewed inventory counts in Warehouse 1</t>
  </si>
  <si>
    <t>A-3</t>
  </si>
  <si>
    <t>Note</t>
  </si>
  <si>
    <t>Found duplicate INV-005 and INV-001</t>
  </si>
  <si>
    <t>A-4</t>
  </si>
  <si>
    <t>Fixed ItemID INV004 -&gt; INV-004</t>
  </si>
  <si>
    <t>A-5</t>
  </si>
  <si>
    <t>Removed obsolete INV-015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</si>
</sst>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4D4D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/>
    <xf numFmtId="0" fontId="1" fillId="4" borderId="1" xfId="1" applyFill="1" applyBorder="1"/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0" fillId="2" borderId="3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1" xfId="0" pivotButton="1" applyFont="1" applyBorder="1"/>
    <xf numFmtId="0" fontId="3" fillId="0" borderId="1" xfId="0" applyFont="1" applyBorder="1"/>
    <xf numFmtId="0" fontId="3" fillId="8" borderId="1" xfId="0" applyFont="1" applyFill="1" applyBorder="1"/>
    <xf numFmtId="0" fontId="3" fillId="0" borderId="0" xfId="0" applyFont="1" applyBorder="1"/>
    <xf numFmtId="0" fontId="3" fillId="0" borderId="3" xfId="0" applyFont="1" applyBorder="1"/>
    <xf numFmtId="0" fontId="3" fillId="0" borderId="5" xfId="0" pivotButton="1" applyFont="1" applyBorder="1"/>
    <xf numFmtId="0" fontId="3" fillId="0" borderId="5" xfId="0" applyFont="1" applyBorder="1"/>
    <xf numFmtId="0" fontId="3" fillId="8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4" fillId="9" borderId="1" xfId="0" applyFont="1" applyFill="1" applyBorder="1"/>
    <xf numFmtId="0" fontId="5" fillId="9" borderId="1" xfId="1" applyFont="1" applyFill="1" applyBorder="1"/>
    <xf numFmtId="0" fontId="0" fillId="0" borderId="1" xfId="0" applyFill="1" applyBorder="1"/>
    <xf numFmtId="0" fontId="2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4" fontId="4" fillId="9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2"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alignment horizontal="center"/>
    </dxf>
    <dxf>
      <alignment horizontal="center"/>
    </dxf>
  </dxfs>
  <tableStyles count="0" defaultTableStyle="TableStyleMedium2" defaultPivotStyle="PivotStyleMedium9"/>
  <colors>
    <mruColors>
      <color rgb="FFF74D4D"/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Per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Transactions!$K$17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8CC7-405F-BB7E-A33D0F28F53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C7-405F-BB7E-A33D0F28F537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C7-405F-BB7E-A33D0F28F537}"/>
              </c:ext>
            </c:extLst>
          </c:dPt>
          <c:dLbls>
            <c:dLbl>
              <c:idx val="2"/>
              <c:layout>
                <c:manualLayout>
                  <c:x val="0.33697792866724369"/>
                  <c:y val="4.170797139301074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C7-405F-BB7E-A33D0F28F537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Transactions!$J$18:$J$20</c:f>
              <c:strCache>
                <c:ptCount val="3"/>
                <c:pt idx="0">
                  <c:v>Warehouse 1</c:v>
                </c:pt>
                <c:pt idx="1">
                  <c:v>Warehouse 2</c:v>
                </c:pt>
                <c:pt idx="2">
                  <c:v>Warehouse 3</c:v>
                </c:pt>
              </c:strCache>
            </c:strRef>
          </c:cat>
          <c:val>
            <c:numRef>
              <c:f>Transactions!$K$18:$K$20</c:f>
              <c:numCache>
                <c:formatCode>General</c:formatCode>
                <c:ptCount val="3"/>
                <c:pt idx="0">
                  <c:v>76</c:v>
                </c:pt>
                <c:pt idx="1">
                  <c:v>19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C7-405F-BB7E-A33D0F28F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0</xdr:row>
      <xdr:rowOff>85725</xdr:rowOff>
    </xdr:from>
    <xdr:to>
      <xdr:col>16</xdr:col>
      <xdr:colOff>0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AC0F5-C325-014D-A78D-D5A71F521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705507754632" createdVersion="8" refreshedVersion="8" minRefreshableVersion="3" recordCount="19" xr:uid="{603727CB-E274-4F3D-8B8D-9B32E8C2AA03}">
  <cacheSource type="worksheet">
    <worksheetSource ref="A1:J20" sheet="Inventory"/>
  </cacheSource>
  <cacheFields count="10">
    <cacheField name="ItemID" numFmtId="0">
      <sharedItems/>
    </cacheField>
    <cacheField name="Item Name" numFmtId="0">
      <sharedItems/>
    </cacheField>
    <cacheField name="Category" numFmtId="0">
      <sharedItems count="5">
        <s v="Hardware"/>
        <s v="Electronics"/>
        <s v="Tools"/>
        <s v="Unknown"/>
        <s v="Returns"/>
      </sharedItems>
    </cacheField>
    <cacheField name="Qty" numFmtId="1">
      <sharedItems containsMixedTypes="1" containsNumber="1" containsInteger="1" minValue="2" maxValue="200" count="14">
        <n v="100"/>
        <n v="25"/>
        <n v="2"/>
        <n v="10"/>
        <n v="5"/>
        <n v="12"/>
        <n v="8"/>
        <n v="50"/>
        <n v="20"/>
        <n v="15"/>
        <n v="30"/>
        <n v="3"/>
        <s v="(blank)"/>
        <n v="200"/>
      </sharedItems>
    </cacheField>
    <cacheField name="Unit" numFmtId="0">
      <sharedItems/>
    </cacheField>
    <cacheField name="Reorder Level" numFmtId="1">
      <sharedItems containsSemiMixedTypes="0" containsString="0" containsNumber="1" containsInteger="1" minValue="0" maxValue="100"/>
    </cacheField>
    <cacheField name="Last Restock" numFmtId="14">
      <sharedItems containsDate="1" containsMixedTypes="1" minDate="2025-12-01T00:00:00" maxDate="2026-10-03T00:00:00" count="16">
        <d v="2026-01-15T00:00:00"/>
        <d v="2026-02-10T00:00:00"/>
        <d v="2026-02-20T00:00:00"/>
        <d v="2026-03-03T00:00:00"/>
        <d v="2025-12-01T00:00:00"/>
        <s v="30/2/2026"/>
        <d v="2026-10-02T00:00:00"/>
        <s v="15/2/2026"/>
        <d v="2026-02-28T00:00:00"/>
        <d v="2026-02-12T00:00:00"/>
        <d v="2026-02-14T00:00:00"/>
        <d v="2026-02-18T00:00:00"/>
        <s v="(blank)"/>
        <d v="2026-02-01T00:00:00"/>
        <s v="13/02/2026"/>
        <d v="2026-02-11T00:00:00"/>
      </sharedItems>
    </cacheField>
    <cacheField name="Location" numFmtId="0">
      <sharedItems/>
    </cacheField>
    <cacheField name="Stock Need" numFmtId="0">
      <sharedItems count="2">
        <s v="Ok"/>
        <s v="Need Restocking"/>
      </sharedItems>
    </cacheField>
    <cacheField name="Status" numFmtId="0">
      <sharedItems count="2">
        <s v="ok"/>
        <s v="Need Revi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INV-001"/>
    <s v="Widget A"/>
    <x v="0"/>
    <x v="0"/>
    <s v="pcs"/>
    <n v="50"/>
    <x v="0"/>
    <s v="Warehouse 1"/>
    <x v="0"/>
    <x v="0"/>
  </r>
  <r>
    <s v="INV-002"/>
    <s v="Widget B"/>
    <x v="0"/>
    <x v="1"/>
    <s v="pcs"/>
    <n v="30"/>
    <x v="0"/>
    <s v="Warehouse 1"/>
    <x v="1"/>
    <x v="0"/>
  </r>
  <r>
    <s v="INV-003"/>
    <s v="Gadget X"/>
    <x v="1"/>
    <x v="2"/>
    <s v="pcs"/>
    <n v="10"/>
    <x v="1"/>
    <s v="Warehouse-2"/>
    <x v="1"/>
    <x v="0"/>
  </r>
  <r>
    <s v="INV-004"/>
    <s v="Gizmo Z"/>
    <x v="1"/>
    <x v="3"/>
    <s v="pcs"/>
    <n v="5"/>
    <x v="2"/>
    <s v="Warehouse 2"/>
    <x v="0"/>
    <x v="0"/>
  </r>
  <r>
    <s v="INV-005"/>
    <s v="Thingamajig"/>
    <x v="2"/>
    <x v="4"/>
    <s v="pcs"/>
    <n v="10"/>
    <x v="3"/>
    <s v="Warehouse 3"/>
    <x v="1"/>
    <x v="0"/>
  </r>
  <r>
    <s v="INV-006"/>
    <s v="Part-123"/>
    <x v="0"/>
    <x v="4"/>
    <s v="pcs"/>
    <n v="20"/>
    <x v="4"/>
    <s v="Warehouse 1"/>
    <x v="1"/>
    <x v="0"/>
  </r>
  <r>
    <s v="INV-007"/>
    <s v="Unnamed Item"/>
    <x v="3"/>
    <x v="5"/>
    <s v="pcs"/>
    <n v="5"/>
    <x v="5"/>
    <s v="Warehouse 4"/>
    <x v="0"/>
    <x v="0"/>
  </r>
  <r>
    <s v="INV-008"/>
    <s v="Gadget X"/>
    <x v="1"/>
    <x v="6"/>
    <s v="pcs"/>
    <n v="10"/>
    <x v="6"/>
    <s v="Warehouse 2"/>
    <x v="1"/>
    <x v="0"/>
  </r>
  <r>
    <s v="INV-009"/>
    <s v="Widget C"/>
    <x v="0"/>
    <x v="7"/>
    <s v="pcs"/>
    <n v="25"/>
    <x v="7"/>
    <s v="Warehouse 1"/>
    <x v="0"/>
    <x v="0"/>
  </r>
  <r>
    <s v="INV-010"/>
    <s v="(blank)"/>
    <x v="0"/>
    <x v="8"/>
    <s v="pcs"/>
    <n v="10"/>
    <x v="8"/>
    <s v="Warehouse 1"/>
    <x v="0"/>
    <x v="1"/>
  </r>
  <r>
    <s v="INV-011"/>
    <s v="Widget D"/>
    <x v="0"/>
    <x v="3"/>
    <s v="pcs"/>
    <n v="5"/>
    <x v="1"/>
    <s v="Warehouse 1"/>
    <x v="0"/>
    <x v="0"/>
  </r>
  <r>
    <s v="INV-012"/>
    <s v="Sprocket"/>
    <x v="2"/>
    <x v="9"/>
    <s v="pcs"/>
    <n v="10"/>
    <x v="9"/>
    <s v="(blank)"/>
    <x v="0"/>
    <x v="1"/>
  </r>
  <r>
    <s v="INV-013"/>
    <s v="Widget E"/>
    <x v="0"/>
    <x v="10"/>
    <s v="pcs"/>
    <n v="15"/>
    <x v="10"/>
    <s v="Warehouse 1"/>
    <x v="0"/>
    <x v="0"/>
  </r>
  <r>
    <s v="INV-014"/>
    <s v="Gadget Y"/>
    <x v="1"/>
    <x v="4"/>
    <s v="pcs"/>
    <n v="5"/>
    <x v="10"/>
    <s v="Warehouse 2"/>
    <x v="0"/>
    <x v="0"/>
  </r>
  <r>
    <s v="INV-016"/>
    <s v="Widget F"/>
    <x v="0"/>
    <x v="11"/>
    <s v="pcs"/>
    <n v="10"/>
    <x v="11"/>
    <s v="Warehouse 1"/>
    <x v="1"/>
    <x v="0"/>
  </r>
  <r>
    <s v="INV-017"/>
    <s v="Broken Item"/>
    <x v="4"/>
    <x v="12"/>
    <s v="pcs"/>
    <n v="0"/>
    <x v="12"/>
    <s v="Warehouse 1"/>
    <x v="0"/>
    <x v="1"/>
  </r>
  <r>
    <s v="INV-018"/>
    <s v="Widget G"/>
    <x v="0"/>
    <x v="13"/>
    <s v="pcs"/>
    <n v="100"/>
    <x v="13"/>
    <s v="Warehouse 1"/>
    <x v="0"/>
    <x v="0"/>
  </r>
  <r>
    <s v="INV-019"/>
    <s v="Widget H"/>
    <x v="0"/>
    <x v="4"/>
    <s v="pcs"/>
    <n v="10"/>
    <x v="14"/>
    <s v="Warehouse 1"/>
    <x v="1"/>
    <x v="0"/>
  </r>
  <r>
    <s v="INV-020"/>
    <s v="Gadget Z"/>
    <x v="1"/>
    <x v="5"/>
    <s v="pcs"/>
    <n v="6"/>
    <x v="15"/>
    <s v="Warehouse 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B6E5-4F34-4296-890E-4C429D5BDB01}" name="Inventory Report" cacheId="4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P11" firstHeaderRow="1" firstDataRow="3" firstDataCol="1" rowPageCount="1" colPageCount="1"/>
  <pivotFields count="10">
    <pivotField compact="0" outline="0" showAll="0"/>
    <pivotField compact="0" outline="0" showAll="0"/>
    <pivotField axis="axisRow" compact="0" outline="0" showAll="0">
      <items count="6">
        <item x="1"/>
        <item x="0"/>
        <item x="4"/>
        <item x="2"/>
        <item x="3"/>
        <item t="default"/>
      </items>
    </pivotField>
    <pivotField dataField="1" compact="0" outline="0" showAll="0">
      <items count="15">
        <item x="2"/>
        <item x="11"/>
        <item x="4"/>
        <item x="6"/>
        <item x="3"/>
        <item x="5"/>
        <item x="9"/>
        <item x="8"/>
        <item x="1"/>
        <item x="10"/>
        <item x="7"/>
        <item x="0"/>
        <item x="13"/>
        <item x="12"/>
        <item t="default"/>
      </items>
    </pivotField>
    <pivotField compact="0" outline="0" showAll="0"/>
    <pivotField compact="0" numFmtId="1" outline="0" showAll="0"/>
    <pivotField axis="axisPage" compact="0" outline="0" showAll="0">
      <items count="17">
        <item x="12"/>
        <item x="14"/>
        <item x="7"/>
        <item x="5"/>
        <item x="4"/>
        <item x="0"/>
        <item x="13"/>
        <item x="1"/>
        <item x="15"/>
        <item x="9"/>
        <item x="10"/>
        <item x="11"/>
        <item x="2"/>
        <item x="8"/>
        <item x="3"/>
        <item x="6"/>
        <item t="default"/>
      </items>
    </pivotField>
    <pivotField compact="0" outline="0" showAll="0"/>
    <pivotField axis="axisCol" compact="0" outline="0" showAll="0" defaultSubtotal="0">
      <items count="2">
        <item sd="0" x="1"/>
        <item x="0"/>
      </items>
    </pivotField>
    <pivotField axis="axisCol" compact="0" outline="0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8"/>
    <field x="9"/>
  </colFields>
  <colItems count="4">
    <i>
      <x/>
    </i>
    <i>
      <x v="1"/>
      <x/>
    </i>
    <i r="1">
      <x v="1"/>
    </i>
    <i t="grand">
      <x/>
    </i>
  </colItems>
  <pageFields count="1">
    <pageField fld="6" hier="-1"/>
  </pageFields>
  <dataFields count="1">
    <dataField name="Count of Qty" fld="3" subtotal="count" baseField="0" baseItem="0"/>
  </dataFields>
  <formats count="29">
    <format dxfId="13">
      <pivotArea type="all" dataOnly="0" outline="0" fieldPosition="0"/>
    </format>
    <format dxfId="14">
      <pivotArea outline="0" collapsedLevelsAreSubtotals="1" fieldPosition="0"/>
    </format>
    <format dxfId="15">
      <pivotArea type="origin" dataOnly="0" labelOnly="1" outline="0" fieldPosition="0"/>
    </format>
    <format dxfId="16">
      <pivotArea field="8" type="button" dataOnly="0" labelOnly="1" outline="0" axis="axisCol" fieldPosition="0"/>
    </format>
    <format dxfId="17">
      <pivotArea field="9" type="button" dataOnly="0" labelOnly="1" outline="0" axis="axisCol" fieldPosition="1"/>
    </format>
    <format dxfId="18">
      <pivotArea type="topRight" dataOnly="0" labelOnly="1" outline="0" fieldPosition="0"/>
    </format>
    <format dxfId="19">
      <pivotArea field="2" type="button" dataOnly="0" labelOnly="1" outline="0" axis="axisRow" fieldPosition="0"/>
    </format>
    <format dxfId="20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1">
          <reference field="8" count="0"/>
        </references>
      </pivotArea>
    </format>
    <format dxfId="23">
      <pivotArea dataOnly="0" labelOnly="1" grandCol="1" outline="0" fieldPosition="0"/>
    </format>
    <format dxfId="24">
      <pivotArea dataOnly="0" labelOnly="1" outline="0" fieldPosition="0">
        <references count="2">
          <reference field="8" count="1" selected="0">
            <x v="1"/>
          </reference>
          <reference field="9" count="0"/>
        </references>
      </pivotArea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8" type="button" dataOnly="0" labelOnly="1" outline="0" axis="axisCol" fieldPosition="0"/>
    </format>
    <format dxfId="29">
      <pivotArea field="9" type="button" dataOnly="0" labelOnly="1" outline="0" axis="axisCol" fieldPosition="1"/>
    </format>
    <format dxfId="30">
      <pivotArea type="topRight" dataOnly="0" labelOnly="1" outline="0" fieldPosition="0"/>
    </format>
    <format dxfId="31">
      <pivotArea field="2" type="button" dataOnly="0" labelOnly="1" outline="0" axis="axisRow" fieldPosition="0"/>
    </format>
    <format dxfId="32">
      <pivotArea dataOnly="0" labelOnly="1" outline="0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4">
      <pivotArea dataOnly="0" labelOnly="1" outline="0" fieldPosition="0">
        <references count="1">
          <reference field="8" count="0"/>
        </references>
      </pivotArea>
    </format>
    <format dxfId="35">
      <pivotArea dataOnly="0" labelOnly="1" grandCol="1" outline="0" fieldPosition="0"/>
    </format>
    <format dxfId="36">
      <pivotArea dataOnly="0" labelOnly="1" outline="0" fieldPosition="0">
        <references count="2">
          <reference field="8" count="1" selected="0">
            <x v="1"/>
          </reference>
          <reference field="9" count="0"/>
        </references>
      </pivotArea>
    </format>
    <format dxfId="37">
      <pivotArea outline="0" collapsedLevelsAreSubtotals="1" fieldPosition="0"/>
    </format>
    <format dxfId="38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40">
      <pivotArea outline="0" fieldPosition="0">
        <references count="1">
          <reference field="2" count="0" selected="0"/>
        </references>
      </pivotArea>
    </format>
    <format dxfId="41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E894F-128D-4D1D-AECD-B4E0CEC341FE}" name="Table1" displayName="Table1" ref="A1:E6" totalsRowShown="0" headerRowDxfId="9" dataDxfId="8" headerRowBorderDxfId="6" tableBorderDxfId="7" totalsRowBorderDxfId="5">
  <autoFilter ref="A1:E6" xr:uid="{652E894F-128D-4D1D-AECD-B4E0CEC341F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ABE47C0-8282-4BAB-B650-899D5FF4D2DD}" name="NoteID" dataDxfId="4"/>
    <tableColumn id="2" xr3:uid="{5816D4C3-949F-4DA8-B55C-E28DE0435D61}" name="Date" dataDxfId="3"/>
    <tableColumn id="3" xr3:uid="{48260BCC-27ED-40FA-A8FD-6D7F2FB4804C}" name="User" dataDxfId="2"/>
    <tableColumn id="4" xr3:uid="{8A028FDE-7FCF-48BC-9D58-384DEC54F9EA}" name="Action" dataDxfId="1"/>
    <tableColumn id="5" xr3:uid="{E53B265E-A541-402F-B2E0-C5945985896E}" name="Detail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081AD8-F1B7-4BEE-A8A4-5C32A6A1EE75}">
  <we:reference id="WA200005502" version="1.0.0.13" store="en-US" storeType="omex"/>
  <we:alternateReferences>
    <we:reference id="WA200005502" version="1.0.0.13" store="en-US" storeType="omex"/>
  </we:alternateReferences>
  <we:properties>
    <we:property name="docId" value="&quot;kujKx9KTrVuYbo0mLI3As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rts@example.com" TargetMode="External"/><Relationship Id="rId2" Type="http://schemas.openxmlformats.org/officeDocument/2006/relationships/hyperlink" Target="mailto:jane@globex.example" TargetMode="External"/><Relationship Id="rId1" Type="http://schemas.openxmlformats.org/officeDocument/2006/relationships/hyperlink" Target="mailto:john@acme.example" TargetMode="External"/><Relationship Id="rId5" Type="http://schemas.openxmlformats.org/officeDocument/2006/relationships/hyperlink" Target="mailto:new@sup.example" TargetMode="External"/><Relationship Id="rId4" Type="http://schemas.openxmlformats.org/officeDocument/2006/relationships/hyperlink" Target="mailto:old@old.exampl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N14" sqref="N14"/>
    </sheetView>
  </sheetViews>
  <sheetFormatPr defaultRowHeight="15"/>
  <cols>
    <col min="1" max="1" width="19.140625" customWidth="1"/>
    <col min="2" max="2" width="14" bestFit="1" customWidth="1"/>
    <col min="3" max="3" width="10.28515625" bestFit="1" customWidth="1"/>
    <col min="4" max="4" width="10.28515625" style="2" bestFit="1" customWidth="1"/>
    <col min="6" max="6" width="13.140625" style="2" bestFit="1" customWidth="1"/>
    <col min="7" max="7" width="17.85546875" style="3" customWidth="1"/>
    <col min="8" max="8" width="14.42578125" style="15" bestFit="1" customWidth="1"/>
    <col min="9" max="9" width="16.7109375" style="15" bestFit="1" customWidth="1"/>
    <col min="10" max="10" width="14.7109375" style="15" customWidth="1"/>
    <col min="12" max="12" width="23" customWidth="1"/>
    <col min="13" max="13" width="30.28515625" customWidth="1"/>
    <col min="14" max="14" width="25.42578125" customWidth="1"/>
    <col min="15" max="15" width="7.140625" customWidth="1"/>
    <col min="16" max="16" width="21" customWidth="1"/>
    <col min="17" max="18" width="11.42578125" bestFit="1" customWidth="1"/>
    <col min="19" max="23" width="3" bestFit="1" customWidth="1"/>
    <col min="24" max="25" width="4.140625" bestFit="1" customWidth="1"/>
    <col min="26" max="26" width="7.140625" bestFit="1" customWidth="1"/>
    <col min="27" max="27" width="11.42578125" bestFit="1" customWidth="1"/>
  </cols>
  <sheetData>
    <row r="1" spans="1:16" ht="21">
      <c r="A1" s="10" t="s">
        <v>0</v>
      </c>
      <c r="B1" s="10" t="s">
        <v>1</v>
      </c>
      <c r="C1" s="10" t="s">
        <v>2</v>
      </c>
      <c r="D1" s="8" t="s">
        <v>3</v>
      </c>
      <c r="E1" s="10" t="s">
        <v>4</v>
      </c>
      <c r="F1" s="8" t="s">
        <v>5</v>
      </c>
      <c r="G1" s="9" t="s">
        <v>6</v>
      </c>
      <c r="H1" s="12" t="s">
        <v>7</v>
      </c>
      <c r="I1" s="11" t="s">
        <v>8</v>
      </c>
      <c r="J1" s="11" t="s">
        <v>9</v>
      </c>
      <c r="L1" s="31" t="s">
        <v>6</v>
      </c>
      <c r="M1" s="35" t="s">
        <v>10</v>
      </c>
      <c r="N1" s="34"/>
      <c r="O1" s="34"/>
      <c r="P1" s="34"/>
    </row>
    <row r="2" spans="1:16" ht="21">
      <c r="A2" s="4" t="s">
        <v>11</v>
      </c>
      <c r="B2" s="4" t="s">
        <v>12</v>
      </c>
      <c r="C2" s="4" t="s">
        <v>13</v>
      </c>
      <c r="D2" s="5">
        <v>100</v>
      </c>
      <c r="E2" s="4" t="s">
        <v>14</v>
      </c>
      <c r="F2" s="5">
        <v>50</v>
      </c>
      <c r="G2" s="6">
        <v>46037</v>
      </c>
      <c r="H2" s="16" t="s">
        <v>15</v>
      </c>
      <c r="I2" s="14" t="s">
        <v>16</v>
      </c>
      <c r="J2" s="14" t="s">
        <v>17</v>
      </c>
      <c r="L2" s="32"/>
      <c r="M2" s="35"/>
      <c r="N2" s="34"/>
      <c r="O2" s="34"/>
      <c r="P2" s="34"/>
    </row>
    <row r="3" spans="1:16" ht="21">
      <c r="A3" s="4" t="s">
        <v>18</v>
      </c>
      <c r="B3" s="4" t="s">
        <v>19</v>
      </c>
      <c r="C3" s="4" t="s">
        <v>13</v>
      </c>
      <c r="D3" s="5">
        <v>25</v>
      </c>
      <c r="E3" s="4" t="s">
        <v>14</v>
      </c>
      <c r="F3" s="5">
        <v>30</v>
      </c>
      <c r="G3" s="6">
        <v>46037</v>
      </c>
      <c r="H3" s="16" t="s">
        <v>15</v>
      </c>
      <c r="I3" s="14" t="s">
        <v>20</v>
      </c>
      <c r="J3" s="14" t="s">
        <v>17</v>
      </c>
      <c r="L3" s="31" t="s">
        <v>21</v>
      </c>
      <c r="M3" s="31" t="s">
        <v>8</v>
      </c>
      <c r="N3" s="36" t="s">
        <v>9</v>
      </c>
      <c r="O3" s="37"/>
      <c r="P3" s="37"/>
    </row>
    <row r="4" spans="1:16" ht="21">
      <c r="A4" s="4" t="s">
        <v>22</v>
      </c>
      <c r="B4" s="4" t="s">
        <v>23</v>
      </c>
      <c r="C4" s="4" t="s">
        <v>24</v>
      </c>
      <c r="D4" s="5">
        <v>2</v>
      </c>
      <c r="E4" s="4" t="s">
        <v>14</v>
      </c>
      <c r="F4" s="5">
        <v>10</v>
      </c>
      <c r="G4" s="6">
        <v>46063</v>
      </c>
      <c r="H4" s="16" t="s">
        <v>25</v>
      </c>
      <c r="I4" s="14" t="s">
        <v>20</v>
      </c>
      <c r="J4" s="14" t="s">
        <v>17</v>
      </c>
      <c r="L4" s="32"/>
      <c r="M4" s="32" t="s">
        <v>20</v>
      </c>
      <c r="N4" s="32" t="s">
        <v>16</v>
      </c>
      <c r="O4" s="32"/>
      <c r="P4" s="32" t="s">
        <v>26</v>
      </c>
    </row>
    <row r="5" spans="1:16" ht="21">
      <c r="A5" s="4" t="s">
        <v>27</v>
      </c>
      <c r="B5" s="4" t="s">
        <v>28</v>
      </c>
      <c r="C5" s="4" t="s">
        <v>24</v>
      </c>
      <c r="D5" s="5">
        <v>10</v>
      </c>
      <c r="E5" s="4" t="s">
        <v>14</v>
      </c>
      <c r="F5" s="5">
        <v>5</v>
      </c>
      <c r="G5" s="6">
        <v>46073</v>
      </c>
      <c r="H5" s="16" t="s">
        <v>29</v>
      </c>
      <c r="I5" s="14" t="s">
        <v>16</v>
      </c>
      <c r="J5" s="14" t="s">
        <v>17</v>
      </c>
      <c r="L5" s="31" t="s">
        <v>2</v>
      </c>
      <c r="M5" s="32"/>
      <c r="N5" s="32" t="s">
        <v>30</v>
      </c>
      <c r="O5" s="32" t="s">
        <v>17</v>
      </c>
      <c r="P5" s="32"/>
    </row>
    <row r="6" spans="1:16" ht="16.5" customHeight="1">
      <c r="A6" s="4" t="s">
        <v>31</v>
      </c>
      <c r="B6" s="4" t="s">
        <v>32</v>
      </c>
      <c r="C6" s="4" t="s">
        <v>33</v>
      </c>
      <c r="D6" s="5">
        <v>5</v>
      </c>
      <c r="E6" s="4" t="s">
        <v>14</v>
      </c>
      <c r="F6" s="5">
        <v>10</v>
      </c>
      <c r="G6" s="6">
        <v>46084</v>
      </c>
      <c r="H6" s="16" t="s">
        <v>34</v>
      </c>
      <c r="I6" s="14" t="s">
        <v>20</v>
      </c>
      <c r="J6" s="14" t="s">
        <v>17</v>
      </c>
      <c r="L6" s="33" t="s">
        <v>24</v>
      </c>
      <c r="M6" s="38">
        <v>2</v>
      </c>
      <c r="N6" s="38"/>
      <c r="O6" s="38">
        <v>3</v>
      </c>
      <c r="P6" s="38">
        <v>5</v>
      </c>
    </row>
    <row r="7" spans="1:16" ht="21">
      <c r="A7" s="4" t="s">
        <v>35</v>
      </c>
      <c r="B7" s="4" t="s">
        <v>36</v>
      </c>
      <c r="C7" s="4" t="s">
        <v>13</v>
      </c>
      <c r="D7" s="5">
        <v>5</v>
      </c>
      <c r="E7" s="4" t="s">
        <v>14</v>
      </c>
      <c r="F7" s="5">
        <v>20</v>
      </c>
      <c r="G7" s="6">
        <v>45992</v>
      </c>
      <c r="H7" s="16" t="s">
        <v>15</v>
      </c>
      <c r="I7" s="14" t="s">
        <v>20</v>
      </c>
      <c r="J7" s="14" t="s">
        <v>17</v>
      </c>
      <c r="L7" s="33" t="s">
        <v>13</v>
      </c>
      <c r="M7" s="38">
        <v>4</v>
      </c>
      <c r="N7" s="38">
        <v>1</v>
      </c>
      <c r="O7" s="38">
        <v>5</v>
      </c>
      <c r="P7" s="38">
        <v>10</v>
      </c>
    </row>
    <row r="8" spans="1:16" ht="21">
      <c r="A8" s="4" t="s">
        <v>37</v>
      </c>
      <c r="B8" s="4" t="s">
        <v>38</v>
      </c>
      <c r="C8" s="4" t="s">
        <v>39</v>
      </c>
      <c r="D8" s="5">
        <v>12</v>
      </c>
      <c r="E8" s="4" t="s">
        <v>14</v>
      </c>
      <c r="F8" s="5">
        <v>5</v>
      </c>
      <c r="G8" s="6" t="s">
        <v>40</v>
      </c>
      <c r="H8" s="16" t="s">
        <v>41</v>
      </c>
      <c r="I8" s="14" t="s">
        <v>16</v>
      </c>
      <c r="J8" s="14" t="s">
        <v>17</v>
      </c>
      <c r="L8" s="33" t="s">
        <v>42</v>
      </c>
      <c r="M8" s="38"/>
      <c r="N8" s="38">
        <v>1</v>
      </c>
      <c r="O8" s="38"/>
      <c r="P8" s="38">
        <v>1</v>
      </c>
    </row>
    <row r="9" spans="1:16" ht="21">
      <c r="A9" s="4" t="s">
        <v>43</v>
      </c>
      <c r="B9" s="4" t="s">
        <v>23</v>
      </c>
      <c r="C9" s="4" t="s">
        <v>24</v>
      </c>
      <c r="D9" s="5">
        <v>8</v>
      </c>
      <c r="E9" s="4" t="s">
        <v>14</v>
      </c>
      <c r="F9" s="5">
        <v>10</v>
      </c>
      <c r="G9" s="6">
        <v>46297</v>
      </c>
      <c r="H9" s="16" t="s">
        <v>29</v>
      </c>
      <c r="I9" s="14" t="s">
        <v>20</v>
      </c>
      <c r="J9" s="14" t="s">
        <v>17</v>
      </c>
      <c r="L9" s="33" t="s">
        <v>33</v>
      </c>
      <c r="M9" s="38">
        <v>1</v>
      </c>
      <c r="N9" s="38">
        <v>1</v>
      </c>
      <c r="O9" s="38"/>
      <c r="P9" s="38">
        <v>2</v>
      </c>
    </row>
    <row r="10" spans="1:16" ht="21">
      <c r="A10" s="4" t="s">
        <v>44</v>
      </c>
      <c r="B10" s="4" t="s">
        <v>45</v>
      </c>
      <c r="C10" s="4" t="s">
        <v>13</v>
      </c>
      <c r="D10" s="5">
        <v>50</v>
      </c>
      <c r="E10" s="4" t="s">
        <v>14</v>
      </c>
      <c r="F10" s="5">
        <v>25</v>
      </c>
      <c r="G10" s="6" t="s">
        <v>46</v>
      </c>
      <c r="H10" s="16" t="s">
        <v>15</v>
      </c>
      <c r="I10" s="14" t="s">
        <v>16</v>
      </c>
      <c r="J10" s="14" t="s">
        <v>17</v>
      </c>
      <c r="L10" s="33" t="s">
        <v>39</v>
      </c>
      <c r="M10" s="38"/>
      <c r="N10" s="38"/>
      <c r="O10" s="38">
        <v>1</v>
      </c>
      <c r="P10" s="38">
        <v>1</v>
      </c>
    </row>
    <row r="11" spans="1:16" ht="21">
      <c r="A11" s="4" t="s">
        <v>47</v>
      </c>
      <c r="B11" s="4" t="s">
        <v>48</v>
      </c>
      <c r="C11" s="4" t="s">
        <v>13</v>
      </c>
      <c r="D11" s="5">
        <v>20</v>
      </c>
      <c r="E11" s="4" t="s">
        <v>14</v>
      </c>
      <c r="F11" s="5">
        <v>10</v>
      </c>
      <c r="G11" s="6">
        <v>46081</v>
      </c>
      <c r="H11" s="16" t="s">
        <v>15</v>
      </c>
      <c r="I11" s="14" t="s">
        <v>16</v>
      </c>
      <c r="J11" s="14" t="s">
        <v>30</v>
      </c>
      <c r="L11" s="33" t="s">
        <v>26</v>
      </c>
      <c r="M11" s="38">
        <v>7</v>
      </c>
      <c r="N11" s="38">
        <v>3</v>
      </c>
      <c r="O11" s="38">
        <v>9</v>
      </c>
      <c r="P11" s="38">
        <v>19</v>
      </c>
    </row>
    <row r="12" spans="1:16">
      <c r="A12" s="4" t="s">
        <v>49</v>
      </c>
      <c r="B12" s="4" t="s">
        <v>50</v>
      </c>
      <c r="C12" s="4" t="s">
        <v>13</v>
      </c>
      <c r="D12" s="5">
        <v>10</v>
      </c>
      <c r="E12" s="4" t="s">
        <v>14</v>
      </c>
      <c r="F12" s="5">
        <v>5</v>
      </c>
      <c r="G12" s="6">
        <v>46063</v>
      </c>
      <c r="H12" s="16" t="s">
        <v>15</v>
      </c>
      <c r="I12" s="14" t="s">
        <v>16</v>
      </c>
      <c r="J12" s="14" t="s">
        <v>17</v>
      </c>
    </row>
    <row r="13" spans="1:16">
      <c r="A13" s="4" t="s">
        <v>51</v>
      </c>
      <c r="B13" s="4" t="s">
        <v>52</v>
      </c>
      <c r="C13" s="4" t="s">
        <v>33</v>
      </c>
      <c r="D13" s="5">
        <v>15</v>
      </c>
      <c r="E13" s="4" t="s">
        <v>14</v>
      </c>
      <c r="F13" s="5">
        <v>10</v>
      </c>
      <c r="G13" s="6">
        <v>46065</v>
      </c>
      <c r="H13" s="16" t="s">
        <v>48</v>
      </c>
      <c r="I13" s="14" t="s">
        <v>16</v>
      </c>
      <c r="J13" s="14" t="s">
        <v>30</v>
      </c>
    </row>
    <row r="14" spans="1:16">
      <c r="A14" s="4" t="s">
        <v>53</v>
      </c>
      <c r="B14" s="4" t="s">
        <v>54</v>
      </c>
      <c r="C14" s="4" t="s">
        <v>13</v>
      </c>
      <c r="D14" s="5">
        <v>30</v>
      </c>
      <c r="E14" s="4" t="s">
        <v>14</v>
      </c>
      <c r="F14" s="5">
        <v>15</v>
      </c>
      <c r="G14" s="6">
        <v>46067</v>
      </c>
      <c r="H14" s="16" t="s">
        <v>15</v>
      </c>
      <c r="I14" s="14" t="s">
        <v>16</v>
      </c>
      <c r="J14" s="14" t="s">
        <v>17</v>
      </c>
    </row>
    <row r="15" spans="1:16">
      <c r="A15" s="4" t="s">
        <v>55</v>
      </c>
      <c r="B15" s="4" t="s">
        <v>56</v>
      </c>
      <c r="C15" s="4" t="s">
        <v>24</v>
      </c>
      <c r="D15" s="5">
        <v>5</v>
      </c>
      <c r="E15" s="4" t="s">
        <v>14</v>
      </c>
      <c r="F15" s="5">
        <v>5</v>
      </c>
      <c r="G15" s="6">
        <v>46067</v>
      </c>
      <c r="H15" s="16" t="s">
        <v>29</v>
      </c>
      <c r="I15" s="14" t="s">
        <v>16</v>
      </c>
      <c r="J15" s="14" t="s">
        <v>17</v>
      </c>
    </row>
    <row r="16" spans="1:16">
      <c r="A16" s="4" t="s">
        <v>57</v>
      </c>
      <c r="B16" s="4" t="s">
        <v>58</v>
      </c>
      <c r="C16" s="4" t="s">
        <v>13</v>
      </c>
      <c r="D16" s="5">
        <v>3</v>
      </c>
      <c r="E16" s="4" t="s">
        <v>14</v>
      </c>
      <c r="F16" s="5">
        <v>10</v>
      </c>
      <c r="G16" s="6">
        <v>46071</v>
      </c>
      <c r="H16" s="16" t="s">
        <v>15</v>
      </c>
      <c r="I16" s="14" t="s">
        <v>20</v>
      </c>
      <c r="J16" s="14" t="s">
        <v>17</v>
      </c>
    </row>
    <row r="17" spans="1:10">
      <c r="A17" s="4" t="s">
        <v>59</v>
      </c>
      <c r="B17" s="4" t="s">
        <v>60</v>
      </c>
      <c r="C17" s="4" t="s">
        <v>42</v>
      </c>
      <c r="D17" s="5" t="s">
        <v>48</v>
      </c>
      <c r="E17" s="4" t="s">
        <v>14</v>
      </c>
      <c r="F17" s="5">
        <v>0</v>
      </c>
      <c r="G17" s="6" t="s">
        <v>48</v>
      </c>
      <c r="H17" s="16" t="s">
        <v>15</v>
      </c>
      <c r="I17" s="14" t="s">
        <v>16</v>
      </c>
      <c r="J17" s="14" t="s">
        <v>30</v>
      </c>
    </row>
    <row r="18" spans="1:10">
      <c r="A18" s="4" t="s">
        <v>61</v>
      </c>
      <c r="B18" s="4" t="s">
        <v>62</v>
      </c>
      <c r="C18" s="4" t="s">
        <v>13</v>
      </c>
      <c r="D18" s="5">
        <v>200</v>
      </c>
      <c r="E18" s="4" t="s">
        <v>14</v>
      </c>
      <c r="F18" s="5">
        <v>100</v>
      </c>
      <c r="G18" s="6">
        <v>46054</v>
      </c>
      <c r="H18" s="16" t="s">
        <v>15</v>
      </c>
      <c r="I18" s="14" t="s">
        <v>16</v>
      </c>
      <c r="J18" s="14" t="s">
        <v>17</v>
      </c>
    </row>
    <row r="19" spans="1:10">
      <c r="A19" s="4" t="s">
        <v>63</v>
      </c>
      <c r="B19" s="4" t="s">
        <v>64</v>
      </c>
      <c r="C19" s="4" t="s">
        <v>13</v>
      </c>
      <c r="D19" s="5">
        <v>5</v>
      </c>
      <c r="E19" s="4" t="s">
        <v>14</v>
      </c>
      <c r="F19" s="5">
        <v>10</v>
      </c>
      <c r="G19" s="6" t="s">
        <v>65</v>
      </c>
      <c r="H19" s="16" t="s">
        <v>15</v>
      </c>
      <c r="I19" s="14" t="s">
        <v>20</v>
      </c>
      <c r="J19" s="14" t="s">
        <v>17</v>
      </c>
    </row>
    <row r="20" spans="1:10">
      <c r="A20" s="4" t="s">
        <v>66</v>
      </c>
      <c r="B20" s="4" t="s">
        <v>67</v>
      </c>
      <c r="C20" s="4" t="s">
        <v>24</v>
      </c>
      <c r="D20" s="5">
        <v>12</v>
      </c>
      <c r="E20" s="4" t="s">
        <v>14</v>
      </c>
      <c r="F20" s="5">
        <v>6</v>
      </c>
      <c r="G20" s="6">
        <v>46064</v>
      </c>
      <c r="H20" s="16" t="s">
        <v>29</v>
      </c>
      <c r="I20" s="14" t="s">
        <v>16</v>
      </c>
      <c r="J20" s="14" t="s">
        <v>17</v>
      </c>
    </row>
    <row r="23" spans="1:10">
      <c r="H23" s="3"/>
    </row>
    <row r="24" spans="1:10">
      <c r="H24" s="3"/>
    </row>
    <row r="25" spans="1:10">
      <c r="H25" s="3"/>
    </row>
  </sheetData>
  <autoFilter ref="H2:J20" xr:uid="{00000000-0001-0000-0000-000000000000}"/>
  <conditionalFormatting sqref="A2:H20">
    <cfRule type="containsText" dxfId="12" priority="1" operator="containsText" text="(blank)">
      <formula>NOT(ISERROR(SEARCH("(blank)",A2)))</formula>
    </cfRule>
  </conditionalFormatting>
  <conditionalFormatting sqref="B23:B1048576 B1:B20">
    <cfRule type="duplicateValues" dxfId="1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2705-8382-4EAD-A22B-C7850C872BC3}">
  <dimension ref="A1:H6"/>
  <sheetViews>
    <sheetView workbookViewId="0">
      <selection activeCell="C8" sqref="C8"/>
    </sheetView>
  </sheetViews>
  <sheetFormatPr defaultRowHeight="15"/>
  <cols>
    <col min="1" max="1" width="11" style="15" customWidth="1"/>
    <col min="2" max="2" width="16" customWidth="1"/>
    <col min="3" max="3" width="13.28515625" customWidth="1"/>
    <col min="4" max="4" width="15" style="48" bestFit="1" customWidth="1"/>
    <col min="5" max="5" width="23.140625" customWidth="1"/>
    <col min="6" max="6" width="23.140625" bestFit="1" customWidth="1"/>
    <col min="7" max="7" width="15.140625" style="15" customWidth="1"/>
    <col min="8" max="8" width="24.140625" style="15" bestFit="1" customWidth="1"/>
  </cols>
  <sheetData>
    <row r="1" spans="1:8">
      <c r="A1" s="44" t="s">
        <v>68</v>
      </c>
      <c r="B1" s="7" t="s">
        <v>69</v>
      </c>
      <c r="C1" s="7" t="s">
        <v>70</v>
      </c>
      <c r="D1" s="46" t="s">
        <v>71</v>
      </c>
      <c r="E1" s="7" t="s">
        <v>72</v>
      </c>
      <c r="F1" s="7" t="s">
        <v>73</v>
      </c>
      <c r="G1" s="44" t="s">
        <v>74</v>
      </c>
      <c r="H1" s="44" t="s">
        <v>9</v>
      </c>
    </row>
    <row r="2" spans="1:8">
      <c r="A2" s="29" t="s">
        <v>75</v>
      </c>
      <c r="B2" s="17" t="s">
        <v>76</v>
      </c>
      <c r="C2" s="17" t="s">
        <v>77</v>
      </c>
      <c r="D2" s="39" t="s">
        <v>78</v>
      </c>
      <c r="E2" s="18" t="s">
        <v>79</v>
      </c>
      <c r="F2" s="17" t="s">
        <v>80</v>
      </c>
      <c r="G2" s="28">
        <v>46032</v>
      </c>
      <c r="H2" s="29" t="s">
        <v>81</v>
      </c>
    </row>
    <row r="3" spans="1:8">
      <c r="A3" s="29" t="s">
        <v>82</v>
      </c>
      <c r="B3" s="17" t="s">
        <v>83</v>
      </c>
      <c r="C3" s="17" t="s">
        <v>84</v>
      </c>
      <c r="D3" s="39" t="s">
        <v>85</v>
      </c>
      <c r="E3" s="18" t="s">
        <v>86</v>
      </c>
      <c r="F3" s="17" t="s">
        <v>87</v>
      </c>
      <c r="G3" s="28">
        <v>46297</v>
      </c>
      <c r="H3" s="29" t="s">
        <v>81</v>
      </c>
    </row>
    <row r="4" spans="1:8">
      <c r="A4" s="29" t="s">
        <v>88</v>
      </c>
      <c r="B4" s="17" t="s">
        <v>89</v>
      </c>
      <c r="C4" s="43" t="s">
        <v>48</v>
      </c>
      <c r="D4" s="39" t="s">
        <v>90</v>
      </c>
      <c r="E4" s="18" t="s">
        <v>91</v>
      </c>
      <c r="F4" s="17" t="s">
        <v>92</v>
      </c>
      <c r="G4" s="28">
        <v>46058</v>
      </c>
      <c r="H4" s="29" t="s">
        <v>30</v>
      </c>
    </row>
    <row r="5" spans="1:8">
      <c r="A5" s="29" t="s">
        <v>93</v>
      </c>
      <c r="B5" s="17" t="s">
        <v>94</v>
      </c>
      <c r="C5" s="17" t="s">
        <v>95</v>
      </c>
      <c r="D5" s="39" t="s">
        <v>96</v>
      </c>
      <c r="E5" s="18" t="s">
        <v>97</v>
      </c>
      <c r="F5" s="17" t="s">
        <v>98</v>
      </c>
      <c r="G5" s="28">
        <v>43575</v>
      </c>
      <c r="H5" s="29" t="s">
        <v>81</v>
      </c>
    </row>
    <row r="6" spans="1:8">
      <c r="A6" s="45" t="s">
        <v>99</v>
      </c>
      <c r="B6" s="41" t="s">
        <v>100</v>
      </c>
      <c r="C6" s="41" t="s">
        <v>101</v>
      </c>
      <c r="D6" s="47" t="s">
        <v>102</v>
      </c>
      <c r="E6" s="42" t="s">
        <v>103</v>
      </c>
      <c r="F6" s="41" t="s">
        <v>104</v>
      </c>
      <c r="G6" s="49">
        <v>46064</v>
      </c>
      <c r="H6" s="45" t="s">
        <v>105</v>
      </c>
    </row>
  </sheetData>
  <conditionalFormatting sqref="C4">
    <cfRule type="containsText" dxfId="10" priority="1" operator="containsText" text="(blank)">
      <formula>NOT(ISERROR(SEARCH("(blank)",C4)))</formula>
    </cfRule>
  </conditionalFormatting>
  <hyperlinks>
    <hyperlink ref="E2" r:id="rId1" xr:uid="{A8278192-6BCC-415D-AD10-BC32AFB72D4D}"/>
    <hyperlink ref="E3" r:id="rId2" xr:uid="{7AECF38E-6611-4F4D-B6B0-34F548947897}"/>
    <hyperlink ref="E4" r:id="rId3" xr:uid="{4946BFB1-7E8F-4C63-B9A3-2D797A4A92B9}"/>
    <hyperlink ref="E5" r:id="rId4" xr:uid="{2E2F1CFA-8ACC-4654-BD72-60B98605BD10}"/>
    <hyperlink ref="E6" r:id="rId5" xr:uid="{8F84FF0D-A563-4F3C-B6FF-A54BD66CAD5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1F3A-3BBC-42AE-B32F-9BC03AFF8D9A}">
  <dimension ref="A1:K20"/>
  <sheetViews>
    <sheetView workbookViewId="0">
      <selection activeCell="G15" sqref="G15"/>
    </sheetView>
  </sheetViews>
  <sheetFormatPr defaultRowHeight="15"/>
  <cols>
    <col min="3" max="3" width="12" bestFit="1" customWidth="1"/>
    <col min="7" max="7" width="13.85546875" customWidth="1"/>
    <col min="8" max="8" width="10.7109375" customWidth="1"/>
    <col min="10" max="10" width="13.5703125" customWidth="1"/>
  </cols>
  <sheetData>
    <row r="1" spans="1:8">
      <c r="A1" s="27" t="s">
        <v>106</v>
      </c>
      <c r="B1" s="27" t="s">
        <v>0</v>
      </c>
      <c r="C1" s="27" t="s">
        <v>107</v>
      </c>
      <c r="D1" s="27" t="s">
        <v>108</v>
      </c>
      <c r="E1" s="27" t="s">
        <v>3</v>
      </c>
      <c r="F1" s="27" t="s">
        <v>4</v>
      </c>
      <c r="G1" s="27" t="s">
        <v>7</v>
      </c>
      <c r="H1" s="27" t="s">
        <v>109</v>
      </c>
    </row>
    <row r="2" spans="1:8">
      <c r="A2" s="17" t="s">
        <v>110</v>
      </c>
      <c r="B2" s="17" t="s">
        <v>11</v>
      </c>
      <c r="C2" s="28">
        <v>46042</v>
      </c>
      <c r="D2" s="17" t="s">
        <v>111</v>
      </c>
      <c r="E2" s="40">
        <v>10</v>
      </c>
      <c r="F2" s="17" t="s">
        <v>14</v>
      </c>
      <c r="G2" s="29" t="s">
        <v>15</v>
      </c>
      <c r="H2" s="17" t="s">
        <v>112</v>
      </c>
    </row>
    <row r="3" spans="1:8">
      <c r="A3" s="17" t="s">
        <v>113</v>
      </c>
      <c r="B3" s="17" t="s">
        <v>18</v>
      </c>
      <c r="C3" s="28">
        <v>46042</v>
      </c>
      <c r="D3" s="17" t="s">
        <v>111</v>
      </c>
      <c r="E3" s="40">
        <v>5</v>
      </c>
      <c r="F3" s="17" t="s">
        <v>14</v>
      </c>
      <c r="G3" s="29" t="s">
        <v>15</v>
      </c>
      <c r="H3" s="17" t="s">
        <v>114</v>
      </c>
    </row>
    <row r="4" spans="1:8">
      <c r="A4" s="17" t="s">
        <v>115</v>
      </c>
      <c r="B4" s="17" t="s">
        <v>22</v>
      </c>
      <c r="C4" s="28">
        <v>46064</v>
      </c>
      <c r="D4" s="17" t="s">
        <v>111</v>
      </c>
      <c r="E4" s="40">
        <v>2</v>
      </c>
      <c r="F4" s="17" t="s">
        <v>14</v>
      </c>
      <c r="G4" s="29" t="s">
        <v>29</v>
      </c>
      <c r="H4" s="17" t="s">
        <v>116</v>
      </c>
    </row>
    <row r="5" spans="1:8">
      <c r="A5" s="17" t="s">
        <v>117</v>
      </c>
      <c r="B5" s="17" t="s">
        <v>31</v>
      </c>
      <c r="C5" s="28">
        <v>46043</v>
      </c>
      <c r="D5" s="17" t="s">
        <v>118</v>
      </c>
      <c r="E5" s="40">
        <v>50</v>
      </c>
      <c r="F5" s="17" t="s">
        <v>14</v>
      </c>
      <c r="G5" s="29" t="s">
        <v>15</v>
      </c>
      <c r="H5" s="17" t="s">
        <v>119</v>
      </c>
    </row>
    <row r="6" spans="1:8">
      <c r="A6" s="17" t="s">
        <v>120</v>
      </c>
      <c r="B6" s="17" t="s">
        <v>35</v>
      </c>
      <c r="C6" s="28">
        <v>46115</v>
      </c>
      <c r="D6" s="17" t="s">
        <v>111</v>
      </c>
      <c r="E6" s="40">
        <v>1</v>
      </c>
      <c r="F6" s="17" t="s">
        <v>14</v>
      </c>
      <c r="G6" s="29" t="s">
        <v>34</v>
      </c>
      <c r="H6" s="17" t="s">
        <v>121</v>
      </c>
    </row>
    <row r="7" spans="1:8">
      <c r="A7" s="17" t="s">
        <v>122</v>
      </c>
      <c r="B7" s="17" t="s">
        <v>37</v>
      </c>
      <c r="C7" s="28">
        <v>45996</v>
      </c>
      <c r="D7" s="17" t="s">
        <v>118</v>
      </c>
      <c r="E7" s="40">
        <v>0</v>
      </c>
      <c r="F7" s="17" t="s">
        <v>14</v>
      </c>
      <c r="G7" s="29" t="s">
        <v>15</v>
      </c>
      <c r="H7" s="17" t="s">
        <v>123</v>
      </c>
    </row>
    <row r="8" spans="1:8">
      <c r="A8" s="17" t="s">
        <v>124</v>
      </c>
      <c r="B8" s="17" t="s">
        <v>43</v>
      </c>
      <c r="C8" s="28">
        <v>46297</v>
      </c>
      <c r="D8" s="17" t="s">
        <v>111</v>
      </c>
      <c r="E8" s="40">
        <v>5</v>
      </c>
      <c r="F8" s="17" t="s">
        <v>14</v>
      </c>
      <c r="G8" s="29" t="s">
        <v>29</v>
      </c>
      <c r="H8" s="17" t="s">
        <v>125</v>
      </c>
    </row>
    <row r="9" spans="1:8">
      <c r="A9" s="17" t="s">
        <v>126</v>
      </c>
      <c r="B9" s="17" t="s">
        <v>49</v>
      </c>
      <c r="C9" s="28">
        <v>46064</v>
      </c>
      <c r="D9" s="17" t="s">
        <v>111</v>
      </c>
      <c r="E9" s="40">
        <v>10</v>
      </c>
      <c r="F9" s="17" t="s">
        <v>14</v>
      </c>
      <c r="G9" s="29" t="s">
        <v>15</v>
      </c>
      <c r="H9" s="17" t="s">
        <v>127</v>
      </c>
    </row>
    <row r="10" spans="1:8">
      <c r="A10" s="17" t="s">
        <v>128</v>
      </c>
      <c r="B10" s="17" t="s">
        <v>51</v>
      </c>
      <c r="C10" s="28">
        <v>46066</v>
      </c>
      <c r="D10" s="17" t="s">
        <v>118</v>
      </c>
      <c r="E10" s="40">
        <v>15</v>
      </c>
      <c r="F10" s="17" t="s">
        <v>14</v>
      </c>
      <c r="G10" s="30" t="s">
        <v>48</v>
      </c>
      <c r="H10" s="17" t="s">
        <v>129</v>
      </c>
    </row>
    <row r="11" spans="1:8">
      <c r="A11" s="17" t="s">
        <v>130</v>
      </c>
      <c r="B11" s="17" t="s">
        <v>63</v>
      </c>
      <c r="C11" s="28" t="s">
        <v>65</v>
      </c>
      <c r="D11" s="17" t="s">
        <v>111</v>
      </c>
      <c r="E11" s="40">
        <v>1</v>
      </c>
      <c r="F11" s="17" t="s">
        <v>14</v>
      </c>
      <c r="G11" s="29" t="s">
        <v>15</v>
      </c>
      <c r="H11" s="17" t="s">
        <v>131</v>
      </c>
    </row>
    <row r="12" spans="1:8">
      <c r="A12" s="17" t="s">
        <v>132</v>
      </c>
      <c r="B12" s="17" t="s">
        <v>66</v>
      </c>
      <c r="C12" s="28">
        <v>46065</v>
      </c>
      <c r="D12" s="17" t="s">
        <v>118</v>
      </c>
      <c r="E12" s="40">
        <v>12</v>
      </c>
      <c r="F12" s="17" t="s">
        <v>14</v>
      </c>
      <c r="G12" s="29" t="s">
        <v>29</v>
      </c>
      <c r="H12" s="17" t="s">
        <v>133</v>
      </c>
    </row>
    <row r="17" spans="10:11">
      <c r="J17" s="1"/>
      <c r="K17" s="1" t="s">
        <v>134</v>
      </c>
    </row>
    <row r="18" spans="10:11">
      <c r="J18" s="1" t="s">
        <v>15</v>
      </c>
      <c r="K18" s="1">
        <f>SUMIF(G2:G12,J18,E2:E12)</f>
        <v>76</v>
      </c>
    </row>
    <row r="19" spans="10:11">
      <c r="J19" s="1" t="s">
        <v>29</v>
      </c>
      <c r="K19" s="1">
        <f t="shared" ref="K19:K20" si="0">SUMIF(G3:G13,J19,E3:E13)</f>
        <v>19</v>
      </c>
    </row>
    <row r="20" spans="10:11">
      <c r="J20" s="1" t="s">
        <v>34</v>
      </c>
      <c r="K20" s="1">
        <f t="shared" si="0"/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CE56-B020-49BB-90E3-6171315EB2DF}">
  <dimension ref="A1:E6"/>
  <sheetViews>
    <sheetView tabSelected="1" workbookViewId="0">
      <selection activeCell="D9" sqref="D9"/>
    </sheetView>
  </sheetViews>
  <sheetFormatPr defaultRowHeight="15"/>
  <cols>
    <col min="1" max="1" width="9.42578125" style="15" bestFit="1" customWidth="1"/>
    <col min="2" max="2" width="13.5703125" style="15" customWidth="1"/>
    <col min="3" max="3" width="12.28515625" style="15" customWidth="1"/>
    <col min="4" max="4" width="11.5703125" style="15" customWidth="1"/>
    <col min="5" max="5" width="40.42578125" customWidth="1"/>
  </cols>
  <sheetData>
    <row r="1" spans="1:5">
      <c r="A1" s="19" t="s">
        <v>135</v>
      </c>
      <c r="B1" s="20" t="s">
        <v>136</v>
      </c>
      <c r="C1" s="20" t="s">
        <v>137</v>
      </c>
      <c r="D1" s="20" t="s">
        <v>138</v>
      </c>
      <c r="E1" s="21" t="s">
        <v>139</v>
      </c>
    </row>
    <row r="2" spans="1:5">
      <c r="A2" s="24" t="s">
        <v>140</v>
      </c>
      <c r="B2" s="6">
        <v>46068</v>
      </c>
      <c r="C2" s="14" t="s">
        <v>141</v>
      </c>
      <c r="D2" s="14" t="s">
        <v>142</v>
      </c>
      <c r="E2" s="22" t="s">
        <v>143</v>
      </c>
    </row>
    <row r="3" spans="1:5" ht="18.75" customHeight="1">
      <c r="A3" s="24" t="s">
        <v>144</v>
      </c>
      <c r="B3" s="6">
        <v>46068</v>
      </c>
      <c r="C3" s="14" t="s">
        <v>145</v>
      </c>
      <c r="D3" s="14" t="s">
        <v>146</v>
      </c>
      <c r="E3" s="22" t="s">
        <v>147</v>
      </c>
    </row>
    <row r="4" spans="1:5">
      <c r="A4" s="24" t="s">
        <v>148</v>
      </c>
      <c r="B4" s="6">
        <v>46069</v>
      </c>
      <c r="C4" s="14" t="s">
        <v>141</v>
      </c>
      <c r="D4" s="14" t="s">
        <v>149</v>
      </c>
      <c r="E4" s="22" t="s">
        <v>150</v>
      </c>
    </row>
    <row r="5" spans="1:5">
      <c r="A5" s="24" t="s">
        <v>151</v>
      </c>
      <c r="B5" s="6">
        <v>46071</v>
      </c>
      <c r="C5" s="14" t="s">
        <v>141</v>
      </c>
      <c r="D5" s="14" t="s">
        <v>142</v>
      </c>
      <c r="E5" s="22" t="s">
        <v>152</v>
      </c>
    </row>
    <row r="6" spans="1:5">
      <c r="A6" s="25" t="s">
        <v>153</v>
      </c>
      <c r="B6" s="13">
        <v>46073</v>
      </c>
      <c r="C6" s="26" t="s">
        <v>141</v>
      </c>
      <c r="D6" s="26" t="s">
        <v>149</v>
      </c>
      <c r="E6" s="23" t="s">
        <v>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2026-04-20T13:16:49Z</dcterms:created>
  <dcterms:modified xsi:type="dcterms:W3CDTF">2026-04-20T17:55:54Z</dcterms:modified>
  <cp:category/>
  <cp:contentStatus/>
</cp:coreProperties>
</file>